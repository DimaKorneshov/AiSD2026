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urfume-my.sharepoint.com/personal/sergey_osipov_urfu_me/Documents/AiSD2026/Mx/"/>
    </mc:Choice>
  </mc:AlternateContent>
  <xr:revisionPtr revIDLastSave="1339" documentId="13_ncr:1_{BB64072A-02B6-4C3F-B1E2-71C6B558E3EF}" xr6:coauthVersionLast="47" xr6:coauthVersionMax="47" xr10:uidLastSave="{2D62B583-8998-43C5-A035-6B15E98E7D87}"/>
  <bookViews>
    <workbookView xWindow="-45" yWindow="870" windowWidth="17865" windowHeight="14640" xr2:uid="{00000000-000D-0000-FFFF-FFFF00000000}"/>
  </bookViews>
  <sheets>
    <sheet name="Лист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2cnF8LrGuPsIE2dNe2Ki13bthnpgOs10j4YhB0Laew="/>
    </ext>
  </extLst>
</workbook>
</file>

<file path=xl/calcChain.xml><?xml version="1.0" encoding="utf-8"?>
<calcChain xmlns="http://schemas.openxmlformats.org/spreadsheetml/2006/main">
  <c r="H2" i="1" l="1" a="1"/>
  <c r="H2" i="1" s="1"/>
  <c r="I49" i="1" l="1"/>
  <c r="I50" i="1"/>
  <c r="E108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1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<sst xmlns="http://schemas.openxmlformats.org/spreadsheetml/2006/main" count="395" uniqueCount="327">
  <si>
    <t>Листинг</t>
  </si>
  <si>
    <t>Имя</t>
  </si>
  <si>
    <t>Название</t>
  </si>
  <si>
    <t>Страница</t>
  </si>
  <si>
    <t>Строк</t>
  </si>
  <si>
    <t>Студент, отвечает за код</t>
  </si>
  <si>
    <t>Студент</t>
  </si>
  <si>
    <t>1.1</t>
  </si>
  <si>
    <t>insertation_sort</t>
  </si>
  <si>
    <t>Сортировка вставками</t>
  </si>
  <si>
    <t>2.1</t>
  </si>
  <si>
    <t>selection sort</t>
  </si>
  <si>
    <t>Сортировка методом выбора</t>
  </si>
  <si>
    <t>2.3</t>
  </si>
  <si>
    <t>findmatch</t>
  </si>
  <si>
    <t>Поиск строки в тексте</t>
  </si>
  <si>
    <t>2.4</t>
  </si>
  <si>
    <t>Умножение матриц</t>
  </si>
  <si>
    <t>2.5</t>
  </si>
  <si>
    <t>power</t>
  </si>
  <si>
    <t>Быстрое возведение в степень</t>
  </si>
  <si>
    <t>3.1</t>
  </si>
  <si>
    <t>struct list</t>
  </si>
  <si>
    <t>Объявление структуры связного списка</t>
  </si>
  <si>
    <t>3.2</t>
  </si>
  <si>
    <t>search_list</t>
  </si>
  <si>
    <t>Рекурсивный поиск элемента в связном списке</t>
  </si>
  <si>
    <t>3.3</t>
  </si>
  <si>
    <t>insert_list</t>
  </si>
  <si>
    <t>Вставка элемента в связный список</t>
  </si>
  <si>
    <t>3.4</t>
  </si>
  <si>
    <t>item_ahead</t>
  </si>
  <si>
    <t>Поиск элемента, предшествующего удаляемому</t>
  </si>
  <si>
    <t>3.5</t>
  </si>
  <si>
    <t>delete_list</t>
  </si>
  <si>
    <t>Удаление элемента связного списка</t>
  </si>
  <si>
    <t>3.6</t>
  </si>
  <si>
    <t>struct tree</t>
  </si>
  <si>
    <t>Объявление типа для структуры дерева</t>
  </si>
  <si>
    <t>3.7</t>
  </si>
  <si>
    <t>search_tree</t>
  </si>
  <si>
    <t>Рекурсивный поиск элемента в двоичном дереве</t>
  </si>
  <si>
    <t>3.8</t>
  </si>
  <si>
    <t>find_minimum</t>
  </si>
  <si>
    <t>Поиска наименьшего элемента в двоичном дереве</t>
  </si>
  <si>
    <t>3.9</t>
  </si>
  <si>
    <t>traverse_tree</t>
  </si>
  <si>
    <t>Рекурсивный алгоритм обхода двоичного дерева</t>
  </si>
  <si>
    <t>3.10</t>
  </si>
  <si>
    <t>insert_tree</t>
  </si>
  <si>
    <t>Вствка узла в двоичное дерево поиска</t>
  </si>
  <si>
    <t>нет ном.</t>
  </si>
  <si>
    <t>h</t>
  </si>
  <si>
    <t>Функция хеширования строки</t>
  </si>
  <si>
    <t>?</t>
  </si>
  <si>
    <t>qsort</t>
  </si>
  <si>
    <t>Пример использования стандартной функции Си</t>
  </si>
  <si>
    <t>priority_que</t>
  </si>
  <si>
    <t>Структура для хранения пирамиды</t>
  </si>
  <si>
    <t>4.2</t>
  </si>
  <si>
    <t>pq_parent, pq_young_child</t>
  </si>
  <si>
    <t>Код для работы с пирамидой</t>
  </si>
  <si>
    <t>4.3</t>
  </si>
  <si>
    <t>pq_insert</t>
  </si>
  <si>
    <t>Вставка элемента в пирамиду</t>
  </si>
  <si>
    <t>4.4</t>
  </si>
  <si>
    <t>pq_init</t>
  </si>
  <si>
    <t>Создание пирамиды повторяющимися вставками</t>
  </si>
  <si>
    <t>4.5</t>
  </si>
  <si>
    <t>extract_min</t>
  </si>
  <si>
    <t>Удаление наименьшего элемента пирамиды</t>
  </si>
  <si>
    <t>4.6</t>
  </si>
  <si>
    <t>heapsort</t>
  </si>
  <si>
    <t>Пирамидальная сортировка</t>
  </si>
  <si>
    <t>4.7</t>
  </si>
  <si>
    <t>make_heap_fast</t>
  </si>
  <si>
    <t>Быстрое создание пирмаиды</t>
  </si>
  <si>
    <t>4.8</t>
  </si>
  <si>
    <t>heap_compare</t>
  </si>
  <si>
    <t>Сравнение к-го элемента пирмаиды с числом х</t>
  </si>
  <si>
    <t>4.9</t>
  </si>
  <si>
    <t>insert_sort</t>
  </si>
  <si>
    <t>4.10</t>
  </si>
  <si>
    <t>merge_sort</t>
  </si>
  <si>
    <t>Сортировка слиянием</t>
  </si>
  <si>
    <t>4.11</t>
  </si>
  <si>
    <t>merge</t>
  </si>
  <si>
    <t>Процедура слияния массива</t>
  </si>
  <si>
    <t>4.12</t>
  </si>
  <si>
    <t>quiksort</t>
  </si>
  <si>
    <t>Быстрая сортировка</t>
  </si>
  <si>
    <t>4.13</t>
  </si>
  <si>
    <t>partition</t>
  </si>
  <si>
    <t>Разбиение массива на части</t>
  </si>
  <si>
    <t>5.1</t>
  </si>
  <si>
    <t>binary_search</t>
  </si>
  <si>
    <t>Двоичный поиск</t>
  </si>
  <si>
    <t>7.1</t>
  </si>
  <si>
    <t>struct edgenode, graph</t>
  </si>
  <si>
    <t>Список смежности</t>
  </si>
  <si>
    <t>7.2</t>
  </si>
  <si>
    <t>initialize_graph</t>
  </si>
  <si>
    <t>Инициализация графа</t>
  </si>
  <si>
    <t>7.3</t>
  </si>
  <si>
    <t>read_graph</t>
  </si>
  <si>
    <t>Чтение данных графа из потока</t>
  </si>
  <si>
    <t>7.4</t>
  </si>
  <si>
    <t>insert_edge</t>
  </si>
  <si>
    <t>Вставка ребра</t>
  </si>
  <si>
    <t>7.5</t>
  </si>
  <si>
    <t>print_graph</t>
  </si>
  <si>
    <t>Печать графа</t>
  </si>
  <si>
    <t>7.8</t>
  </si>
  <si>
    <t>initialize_search</t>
  </si>
  <si>
    <t>Инициализация вершин (обход в ширину)</t>
  </si>
  <si>
    <t>7.9</t>
  </si>
  <si>
    <t>bfs</t>
  </si>
  <si>
    <t>Обход графа в ширину</t>
  </si>
  <si>
    <t>7.10</t>
  </si>
  <si>
    <t>process_vertex_late</t>
  </si>
  <si>
    <t>Пост-обработка вершины</t>
  </si>
  <si>
    <t>7.11</t>
  </si>
  <si>
    <t>process_vertex_early</t>
  </si>
  <si>
    <t>Пред-обработка вершины</t>
  </si>
  <si>
    <t>process_edge</t>
  </si>
  <si>
    <t>Обработка ребра</t>
  </si>
  <si>
    <t>7.12</t>
  </si>
  <si>
    <t>Обработка ребра для подсчета количества ребер</t>
  </si>
  <si>
    <t>7.13</t>
  </si>
  <si>
    <t>find_path</t>
  </si>
  <si>
    <t>Рекурсивное определение длины пути</t>
  </si>
  <si>
    <t>7.14</t>
  </si>
  <si>
    <t>connected_components</t>
  </si>
  <si>
    <t>Поиск компонентов связности</t>
  </si>
  <si>
    <t>7.16</t>
  </si>
  <si>
    <t>twocolor</t>
  </si>
  <si>
    <t>Раскраска графа двумя цветами</t>
  </si>
  <si>
    <t>7.17</t>
  </si>
  <si>
    <t>dfs</t>
  </si>
  <si>
    <t>Обход графа в глубину</t>
  </si>
  <si>
    <t>7.18</t>
  </si>
  <si>
    <t>Поиск циклов</t>
  </si>
  <si>
    <t>7.19</t>
  </si>
  <si>
    <t>Поиск шарниров - инициализаия</t>
  </si>
  <si>
    <t>7.20</t>
  </si>
  <si>
    <t>Определение возраста предшественников</t>
  </si>
  <si>
    <t>7.21</t>
  </si>
  <si>
    <t>Определение типа шарнира</t>
  </si>
  <si>
    <t>7.22</t>
  </si>
  <si>
    <t>edge_classification</t>
  </si>
  <si>
    <t>Типы ребер ориентированных графов</t>
  </si>
  <si>
    <t>7.23</t>
  </si>
  <si>
    <t>topsort</t>
  </si>
  <si>
    <t>Топологическая сортировка</t>
  </si>
  <si>
    <t>7.24</t>
  </si>
  <si>
    <t>transpose</t>
  </si>
  <si>
    <t>Транспонирование графа</t>
  </si>
  <si>
    <t>7.25</t>
  </si>
  <si>
    <t>strong_components</t>
  </si>
  <si>
    <t>Сильно связанные компоненты</t>
  </si>
  <si>
    <t>8.1, 8.2</t>
  </si>
  <si>
    <t>struct graph, struct edgenode</t>
  </si>
  <si>
    <t>Структура списка смежности</t>
  </si>
  <si>
    <t>8.4</t>
  </si>
  <si>
    <t>prim</t>
  </si>
  <si>
    <t>Алгоритм Прима</t>
  </si>
  <si>
    <t>7.6</t>
  </si>
  <si>
    <t>kruskal</t>
  </si>
  <si>
    <t>Алгоритм Крускала</t>
  </si>
  <si>
    <t>8.7</t>
  </si>
  <si>
    <t>union_find</t>
  </si>
  <si>
    <t>Структура данных для непересекающихся множеств</t>
  </si>
  <si>
    <t>8.8</t>
  </si>
  <si>
    <t>union_find_init, find, union_sets, same_component</t>
  </si>
  <si>
    <t>Операции union и find</t>
  </si>
  <si>
    <t>8.10</t>
  </si>
  <si>
    <t>dejkstra</t>
  </si>
  <si>
    <t>Алгоритм Дейскстры</t>
  </si>
  <si>
    <t>8.11</t>
  </si>
  <si>
    <t>struct adjacency_matrix</t>
  </si>
  <si>
    <t>Матрица смежности</t>
  </si>
  <si>
    <t>8.12</t>
  </si>
  <si>
    <t>floyd</t>
  </si>
  <si>
    <t>Алгоритм Флойда -Уоршелла</t>
  </si>
  <si>
    <t>8.13</t>
  </si>
  <si>
    <t>struct edgenode</t>
  </si>
  <si>
    <t>Модифицированная структура ребра - потоки</t>
  </si>
  <si>
    <t>8.14</t>
  </si>
  <si>
    <t>netflow</t>
  </si>
  <si>
    <t>Поиск оптимального потока</t>
  </si>
  <si>
    <t>8.15</t>
  </si>
  <si>
    <t>valid_edge</t>
  </si>
  <si>
    <t>Определение насыщенности</t>
  </si>
  <si>
    <t>8.16</t>
  </si>
  <si>
    <t>path_volume</t>
  </si>
  <si>
    <t>Добавление увеличивающих путей в поток</t>
  </si>
  <si>
    <t>8.17</t>
  </si>
  <si>
    <t>augument_path</t>
  </si>
  <si>
    <t>Модификация ребер</t>
  </si>
  <si>
    <t>9.2</t>
  </si>
  <si>
    <t>backtrack</t>
  </si>
  <si>
    <t>Перебор с возвратом</t>
  </si>
  <si>
    <t>9.3</t>
  </si>
  <si>
    <t>is_a_solution</t>
  </si>
  <si>
    <t>Базовые процедуры перебора с возвратом</t>
  </si>
  <si>
    <t>9.4</t>
  </si>
  <si>
    <t>generate_subsets</t>
  </si>
  <si>
    <t>Процедура генерирования подмножеств</t>
  </si>
  <si>
    <t>9.5</t>
  </si>
  <si>
    <t>construct_candidates</t>
  </si>
  <si>
    <t>9.6</t>
  </si>
  <si>
    <t>process_solution, is_a_solution generate_permutations</t>
  </si>
  <si>
    <t>Процедруы генерирования перестановок</t>
  </si>
  <si>
    <t>9.7</t>
  </si>
  <si>
    <t>struct ath_data</t>
  </si>
  <si>
    <t>Структура для генерирования путей в графе</t>
  </si>
  <si>
    <t>9.8</t>
  </si>
  <si>
    <t>Процедура перечисления всех путей в графе</t>
  </si>
  <si>
    <t>9.9</t>
  </si>
  <si>
    <t>Определение пути</t>
  </si>
  <si>
    <t>9.10</t>
  </si>
  <si>
    <t>process_solution</t>
  </si>
  <si>
    <t>Подсчет путей</t>
  </si>
  <si>
    <t>9.11</t>
  </si>
  <si>
    <t>point, boardtype и др.</t>
  </si>
  <si>
    <t>Определение структур данных для судоку</t>
  </si>
  <si>
    <t>9.12</t>
  </si>
  <si>
    <t>construct_candidates, possible_values</t>
  </si>
  <si>
    <t>Генерирование кандидатов на заполнение клетки</t>
  </si>
  <si>
    <t>9.13</t>
  </si>
  <si>
    <t>make_move, unmake_move</t>
  </si>
  <si>
    <t>Ход и отмена хода</t>
  </si>
  <si>
    <t>9.14</t>
  </si>
  <si>
    <t>Процдура отслеживания пустых клеток</t>
  </si>
  <si>
    <t>9.15</t>
  </si>
  <si>
    <t>process_soulution</t>
  </si>
  <si>
    <t>Завершение поиска, обработка решения</t>
  </si>
  <si>
    <t>9.16</t>
  </si>
  <si>
    <t>brunch_and_bound</t>
  </si>
  <si>
    <t>Поиск кандидатов кратчайшего пути</t>
  </si>
  <si>
    <t>9.17</t>
  </si>
  <si>
    <t>extend_solution, contract_soulution</t>
  </si>
  <si>
    <t>Процедуры создания частичных решений</t>
  </si>
  <si>
    <t>9.18</t>
  </si>
  <si>
    <t>partial_solution_cost</t>
  </si>
  <si>
    <t>Вычисление стоимости решения</t>
  </si>
  <si>
    <t>10.1</t>
  </si>
  <si>
    <t>fib_r</t>
  </si>
  <si>
    <t>Рекурсивное вычисление числа Фибоначчи</t>
  </si>
  <si>
    <t>10.2</t>
  </si>
  <si>
    <t>fib_c, fib_c_driver</t>
  </si>
  <si>
    <t>Число Фибоначчи с кэшированием</t>
  </si>
  <si>
    <t>10.3</t>
  </si>
  <si>
    <t>fib_dp</t>
  </si>
  <si>
    <t>Фибоначчи без рекурсии</t>
  </si>
  <si>
    <t>10.4</t>
  </si>
  <si>
    <t>fib_ultimate</t>
  </si>
  <si>
    <t>Улучшенная версия Фибоначчи</t>
  </si>
  <si>
    <t>10.5</t>
  </si>
  <si>
    <t>binomial_coefficient</t>
  </si>
  <si>
    <t>Вычисление биномиального коэффициента</t>
  </si>
  <si>
    <t>10.6</t>
  </si>
  <si>
    <t>string_compare_r</t>
  </si>
  <si>
    <t>Рекурсивное вычисление стоимости редактирования</t>
  </si>
  <si>
    <t xml:space="preserve">10.7 </t>
  </si>
  <si>
    <t>struce cell</t>
  </si>
  <si>
    <t>Структура таблици для вычисления стоимости редактирования</t>
  </si>
  <si>
    <t>10.8</t>
  </si>
  <si>
    <t>string_compare</t>
  </si>
  <si>
    <t>Вычисление стоимости редактирования</t>
  </si>
  <si>
    <t>10.9</t>
  </si>
  <si>
    <t>reconstruct_path</t>
  </si>
  <si>
    <t>Восстановление решения в прямом порядке</t>
  </si>
  <si>
    <t>10.10</t>
  </si>
  <si>
    <t>row_init, column_init</t>
  </si>
  <si>
    <t>Процедуры инициализачии таблицы стоимости редактирования</t>
  </si>
  <si>
    <t>10.11</t>
  </si>
  <si>
    <t>match, indel</t>
  </si>
  <si>
    <t>Функции стоимости</t>
  </si>
  <si>
    <t>10.12</t>
  </si>
  <si>
    <t>goal_cell</t>
  </si>
  <si>
    <t>Функция определения места целевой ячейки</t>
  </si>
  <si>
    <t>10.13</t>
  </si>
  <si>
    <t>insert_out, delete_out, match_out</t>
  </si>
  <si>
    <t>Функции трассировки решения</t>
  </si>
  <si>
    <t>10.14</t>
  </si>
  <si>
    <t>row_init, goal_cell</t>
  </si>
  <si>
    <t>Модифицированные функции для поиска неточно совп. строк</t>
  </si>
  <si>
    <t>10.15</t>
  </si>
  <si>
    <t>match</t>
  </si>
  <si>
    <t>Модифицировання функция стоимости совпадений</t>
  </si>
  <si>
    <t xml:space="preserve">10.16 </t>
  </si>
  <si>
    <t>subset_sum</t>
  </si>
  <si>
    <t>Алгоритм для определения возможности получения суммы к</t>
  </si>
  <si>
    <t>10.17</t>
  </si>
  <si>
    <t>report_subset</t>
  </si>
  <si>
    <t>Поиск подходящего родительского элемента</t>
  </si>
  <si>
    <t>10.18</t>
  </si>
  <si>
    <t>Алгоритм решения задачи линейного разбиение</t>
  </si>
  <si>
    <t>10.19</t>
  </si>
  <si>
    <t>reconstruct_partition, print_books</t>
  </si>
  <si>
    <t>Рекурсивная процедура восстановления решения</t>
  </si>
  <si>
    <t>12.4</t>
  </si>
  <si>
    <t>random_sampling</t>
  </si>
  <si>
    <t>Процедура произвольного выбора решения</t>
  </si>
  <si>
    <t>12.6</t>
  </si>
  <si>
    <t>hill_climbing</t>
  </si>
  <si>
    <t>Процедура восхождения по выпуклой поверхности</t>
  </si>
  <si>
    <t>12.8</t>
  </si>
  <si>
    <t>anneal</t>
  </si>
  <si>
    <t>Всего строк:</t>
  </si>
  <si>
    <t>Всего человек:</t>
  </si>
  <si>
    <t>Строк на чел.</t>
  </si>
  <si>
    <t>Имитация отжига</t>
  </si>
  <si>
    <t>Процедура генерирования перестановок</t>
  </si>
  <si>
    <t>Дата доклада</t>
  </si>
  <si>
    <t>Косоногова Анна Михайловна</t>
  </si>
  <si>
    <t>Черев Алексей Дмитриевич</t>
  </si>
  <si>
    <t xml:space="preserve">Бахтеева Вероника Александровна </t>
  </si>
  <si>
    <t>Цюкало Кирилл Алексеевич</t>
  </si>
  <si>
    <t xml:space="preserve">Пасюта Мария Сергеевна </t>
  </si>
  <si>
    <t>Милицина Елизавета Сергеевна</t>
  </si>
  <si>
    <t>Иванов Вячеслав Александрович</t>
  </si>
  <si>
    <t xml:space="preserve">Старицын Михаил Вячеславович </t>
  </si>
  <si>
    <t xml:space="preserve">Звягинцев Роман Евгеньевич </t>
  </si>
  <si>
    <t>Резанов Аристарх Сергеевич</t>
  </si>
  <si>
    <t>Токарев Николай Евгеньевич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</si>
</sst>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scheme val="minor"/>
    </font>
    <font>
      <b/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rgb="FF000000"/>
      <name val="Aptos"/>
      <family val="2"/>
    </font>
    <font>
      <sz val="11"/>
      <color rgb="FF1F2328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14" fontId="5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/>
    <xf numFmtId="0" fontId="11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yyyy/mm/dd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9EA63-45AF-4126-A392-111B73C106A8}" name="Таблица1" displayName="Таблица1" ref="A1:G107" totalsRowShown="0" headerRowDxfId="7">
  <autoFilter ref="A1:G107" xr:uid="{5609EA63-45AF-4126-A392-111B73C106A8}"/>
  <tableColumns count="7">
    <tableColumn id="1" xr3:uid="{93552DC0-400C-4041-9CCE-C18FD2B6831E}" name="Листинг" dataDxfId="6"/>
    <tableColumn id="2" xr3:uid="{9E9E2B49-CA37-44D6-8AE2-28CC5F771432}" name="Имя" dataDxfId="5"/>
    <tableColumn id="3" xr3:uid="{9435CBF6-ED5E-4320-A96F-556C3F73813F}" name="Название" dataDxfId="4"/>
    <tableColumn id="4" xr3:uid="{52068E18-F2F5-450F-8D7A-7092B4AF0E59}" name="Страница" dataDxfId="3"/>
    <tableColumn id="5" xr3:uid="{4EEEFFB7-77F0-4CC9-8ED1-B24C16B04254}" name="Строк" dataDxfId="2"/>
    <tableColumn id="6" xr3:uid="{19F840D8-A240-40D0-A93F-75D2D6A18B2C}" name="Студент, отвечает за код" dataDxfId="1"/>
    <tableColumn id="7" xr3:uid="{A7989D18-D756-4842-B2F4-DE249D9B736C}" name="Дата доклад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998"/>
  <sheetViews>
    <sheetView tabSelected="1" workbookViewId="0">
      <pane xSplit="3" ySplit="1" topLeftCell="D65" activePane="bottomRight" state="frozen"/>
      <selection pane="topRight" activeCell="D1" sqref="D1"/>
      <selection pane="bottomLeft" activeCell="A2" sqref="A2"/>
      <selection pane="bottomRight" activeCell="F90" sqref="F90"/>
    </sheetView>
  </sheetViews>
  <sheetFormatPr defaultColWidth="14.42578125" defaultRowHeight="15" customHeight="1" x14ac:dyDescent="0.25"/>
  <cols>
    <col min="1" max="1" width="11.42578125" customWidth="1"/>
    <col min="2" max="2" width="28.5703125" customWidth="1"/>
    <col min="3" max="3" width="48.140625" customWidth="1"/>
    <col min="4" max="4" width="13" customWidth="1"/>
    <col min="5" max="5" width="10.42578125" customWidth="1"/>
    <col min="6" max="7" width="33.28515625" customWidth="1"/>
    <col min="8" max="8" width="35.28515625" customWidth="1"/>
    <col min="9" max="9" width="6.28515625" customWidth="1"/>
  </cols>
  <sheetData>
    <row r="1" spans="1:9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315</v>
      </c>
      <c r="H1" s="2" t="s">
        <v>6</v>
      </c>
      <c r="I1" s="2" t="s">
        <v>4</v>
      </c>
    </row>
    <row r="2" spans="1:9" ht="14.25" customHeight="1" x14ac:dyDescent="0.25">
      <c r="A2" s="3" t="s">
        <v>7</v>
      </c>
      <c r="B2" s="3" t="s">
        <v>8</v>
      </c>
      <c r="C2" s="3" t="s">
        <v>9</v>
      </c>
      <c r="D2" s="3">
        <v>26</v>
      </c>
      <c r="E2" s="3">
        <v>11</v>
      </c>
      <c r="F2" s="23" t="s">
        <v>316</v>
      </c>
      <c r="G2" s="12"/>
      <c r="H2" s="3" t="str" cm="1">
        <f t="array" ref="H2:H13">_xlfn.UNIQUE($F$2:$F$107)</f>
        <v>Косоногова Анна Михайловна</v>
      </c>
      <c r="I2" s="4">
        <f>SUMIF(F2:F107, H2, E2:E107)</f>
        <v>67</v>
      </c>
    </row>
    <row r="3" spans="1:9" ht="14.25" customHeight="1" x14ac:dyDescent="0.25">
      <c r="A3" s="3" t="s">
        <v>10</v>
      </c>
      <c r="B3" s="3" t="s">
        <v>11</v>
      </c>
      <c r="C3" s="3" t="s">
        <v>12</v>
      </c>
      <c r="D3" s="3">
        <v>67</v>
      </c>
      <c r="E3" s="3">
        <v>13</v>
      </c>
      <c r="F3" s="23" t="s">
        <v>316</v>
      </c>
      <c r="G3" s="12"/>
      <c r="H3" s="3" t="str">
        <v>Черев Алексей Дмитриевич</v>
      </c>
      <c r="I3" s="4">
        <f>SUMIF(F3:F108, H3, E3:E108)</f>
        <v>72</v>
      </c>
    </row>
    <row r="4" spans="1:9" ht="14.25" customHeight="1" x14ac:dyDescent="0.25">
      <c r="A4" s="3" t="s">
        <v>13</v>
      </c>
      <c r="B4" s="3" t="s">
        <v>14</v>
      </c>
      <c r="C4" s="3" t="s">
        <v>15</v>
      </c>
      <c r="D4" s="3">
        <v>69</v>
      </c>
      <c r="E4" s="3">
        <v>16</v>
      </c>
      <c r="F4" s="23" t="s">
        <v>316</v>
      </c>
      <c r="G4" s="12"/>
      <c r="H4" s="3" t="str">
        <v>Токарев Николай Евгеньевич</v>
      </c>
      <c r="I4" s="4">
        <f>SUMIF(F4:F108, H4, E4:E108)</f>
        <v>53</v>
      </c>
    </row>
    <row r="5" spans="1:9" ht="14.25" customHeight="1" x14ac:dyDescent="0.25">
      <c r="A5" s="3" t="s">
        <v>16</v>
      </c>
      <c r="B5" s="21"/>
      <c r="C5" s="3" t="s">
        <v>17</v>
      </c>
      <c r="D5" s="3">
        <v>71</v>
      </c>
      <c r="E5" s="3">
        <v>8</v>
      </c>
      <c r="F5" s="23" t="s">
        <v>316</v>
      </c>
      <c r="G5" s="8"/>
      <c r="H5" s="3">
        <v>0</v>
      </c>
      <c r="I5" s="4">
        <f t="shared" ref="I5:I50" si="0">SUMIF(F5:F108, H5, E5:E108)</f>
        <v>0</v>
      </c>
    </row>
    <row r="6" spans="1:9" ht="14.25" customHeight="1" x14ac:dyDescent="0.25">
      <c r="A6" s="3" t="s">
        <v>18</v>
      </c>
      <c r="B6" s="3" t="s">
        <v>19</v>
      </c>
      <c r="C6" s="3" t="s">
        <v>20</v>
      </c>
      <c r="D6" s="3">
        <v>77</v>
      </c>
      <c r="E6" s="3">
        <v>5</v>
      </c>
      <c r="F6" s="23" t="s">
        <v>316</v>
      </c>
      <c r="G6" s="12"/>
      <c r="H6" s="3" t="str">
        <v>Цюкало Кирилл Алексеевич</v>
      </c>
      <c r="I6" s="4">
        <f t="shared" si="0"/>
        <v>67</v>
      </c>
    </row>
    <row r="7" spans="1:9" ht="14.25" customHeight="1" x14ac:dyDescent="0.25">
      <c r="A7" s="3" t="s">
        <v>21</v>
      </c>
      <c r="B7" s="3" t="s">
        <v>22</v>
      </c>
      <c r="C7" s="3" t="s">
        <v>23</v>
      </c>
      <c r="D7" s="3">
        <v>99</v>
      </c>
      <c r="E7" s="3">
        <v>4</v>
      </c>
      <c r="F7" s="23" t="s">
        <v>316</v>
      </c>
      <c r="G7" s="12"/>
      <c r="H7" s="3" t="str">
        <v xml:space="preserve">Пасюта Мария Сергеевна </v>
      </c>
      <c r="I7" s="4">
        <f t="shared" si="0"/>
        <v>65</v>
      </c>
    </row>
    <row r="8" spans="1:9" ht="14.25" customHeight="1" x14ac:dyDescent="0.25">
      <c r="A8" s="3" t="s">
        <v>24</v>
      </c>
      <c r="B8" s="3" t="s">
        <v>25</v>
      </c>
      <c r="C8" s="3" t="s">
        <v>26</v>
      </c>
      <c r="D8" s="3">
        <v>99</v>
      </c>
      <c r="E8" s="3">
        <v>10</v>
      </c>
      <c r="F8" s="23" t="s">
        <v>316</v>
      </c>
      <c r="G8" s="15"/>
      <c r="H8" s="3" t="str">
        <v xml:space="preserve">Бахтеева Вероника Александровна </v>
      </c>
      <c r="I8" s="4">
        <f t="shared" si="0"/>
        <v>53</v>
      </c>
    </row>
    <row r="9" spans="1:9" ht="14.25" customHeight="1" x14ac:dyDescent="0.25">
      <c r="A9" s="3" t="s">
        <v>27</v>
      </c>
      <c r="B9" s="3" t="s">
        <v>28</v>
      </c>
      <c r="C9" s="3" t="s">
        <v>29</v>
      </c>
      <c r="D9" s="3">
        <v>100</v>
      </c>
      <c r="E9" s="3">
        <v>7</v>
      </c>
      <c r="F9" s="23" t="s">
        <v>317</v>
      </c>
      <c r="G9" s="15"/>
      <c r="H9" s="5" t="str">
        <v>Милицина Елизавета Сергеевна</v>
      </c>
      <c r="I9" s="4">
        <f t="shared" si="0"/>
        <v>62</v>
      </c>
    </row>
    <row r="10" spans="1:9" ht="14.25" customHeight="1" x14ac:dyDescent="0.25">
      <c r="A10" s="3" t="s">
        <v>30</v>
      </c>
      <c r="B10" s="3" t="s">
        <v>31</v>
      </c>
      <c r="C10" s="3" t="s">
        <v>32</v>
      </c>
      <c r="D10" s="3">
        <v>100</v>
      </c>
      <c r="E10" s="3">
        <v>10</v>
      </c>
      <c r="F10" s="23" t="s">
        <v>317</v>
      </c>
      <c r="G10" s="15"/>
      <c r="H10" s="3" t="str">
        <v xml:space="preserve">Старицын Михаил Вячеславович </v>
      </c>
      <c r="I10" s="4">
        <f t="shared" si="0"/>
        <v>66</v>
      </c>
    </row>
    <row r="11" spans="1:9" ht="14.25" customHeight="1" x14ac:dyDescent="0.25">
      <c r="A11" s="3" t="s">
        <v>33</v>
      </c>
      <c r="B11" s="3" t="s">
        <v>34</v>
      </c>
      <c r="C11" s="3" t="s">
        <v>35</v>
      </c>
      <c r="D11" s="3">
        <v>101</v>
      </c>
      <c r="E11" s="3">
        <v>12</v>
      </c>
      <c r="F11" s="23" t="s">
        <v>317</v>
      </c>
      <c r="G11" s="15"/>
      <c r="H11" s="4" t="str">
        <v>Резанов Аристарх Сергеевич</v>
      </c>
      <c r="I11" s="4">
        <f t="shared" si="0"/>
        <v>65</v>
      </c>
    </row>
    <row r="12" spans="1:9" ht="14.25" customHeight="1" x14ac:dyDescent="0.3">
      <c r="A12" s="3" t="s">
        <v>36</v>
      </c>
      <c r="B12" s="3" t="s">
        <v>37</v>
      </c>
      <c r="C12" s="3" t="s">
        <v>38</v>
      </c>
      <c r="D12" s="3">
        <v>110</v>
      </c>
      <c r="E12" s="3">
        <v>6</v>
      </c>
      <c r="F12" s="24" t="s">
        <v>326</v>
      </c>
      <c r="G12" s="12"/>
      <c r="H12" s="3" t="str">
        <v xml:space="preserve">Звягинцев Роман Евгеньевич </v>
      </c>
      <c r="I12" s="4">
        <f t="shared" si="0"/>
        <v>58</v>
      </c>
    </row>
    <row r="13" spans="1:9" ht="14.25" customHeight="1" x14ac:dyDescent="0.3">
      <c r="A13" s="3" t="s">
        <v>39</v>
      </c>
      <c r="B13" s="3" t="s">
        <v>40</v>
      </c>
      <c r="C13" s="3" t="s">
        <v>41</v>
      </c>
      <c r="D13" s="3">
        <v>110</v>
      </c>
      <c r="E13" s="3">
        <v>13</v>
      </c>
      <c r="F13" s="24" t="s">
        <v>326</v>
      </c>
      <c r="G13" s="12"/>
      <c r="H13" s="3" t="str">
        <v>Иванов Вячеслав Александрович</v>
      </c>
      <c r="I13" s="4">
        <f t="shared" si="0"/>
        <v>179</v>
      </c>
    </row>
    <row r="14" spans="1:9" ht="14.25" customHeight="1" x14ac:dyDescent="0.3">
      <c r="A14" s="3" t="s">
        <v>42</v>
      </c>
      <c r="B14" s="3" t="s">
        <v>43</v>
      </c>
      <c r="C14" s="3" t="s">
        <v>44</v>
      </c>
      <c r="D14" s="3">
        <v>111</v>
      </c>
      <c r="E14" s="3">
        <v>10</v>
      </c>
      <c r="F14" s="24" t="s">
        <v>326</v>
      </c>
      <c r="G14" s="16"/>
      <c r="H14" s="6"/>
      <c r="I14" s="4">
        <f t="shared" si="0"/>
        <v>0</v>
      </c>
    </row>
    <row r="15" spans="1:9" ht="14.25" customHeight="1" x14ac:dyDescent="0.3">
      <c r="A15" s="3" t="s">
        <v>45</v>
      </c>
      <c r="B15" s="3" t="s">
        <v>46</v>
      </c>
      <c r="C15" s="3" t="s">
        <v>47</v>
      </c>
      <c r="D15" s="3">
        <v>112</v>
      </c>
      <c r="E15" s="3">
        <v>8</v>
      </c>
      <c r="F15" s="24" t="s">
        <v>326</v>
      </c>
      <c r="G15" s="17"/>
      <c r="H15" s="3"/>
      <c r="I15" s="4">
        <f t="shared" si="0"/>
        <v>0</v>
      </c>
    </row>
    <row r="16" spans="1:9" ht="14.25" customHeight="1" x14ac:dyDescent="0.3">
      <c r="A16" s="3" t="s">
        <v>48</v>
      </c>
      <c r="B16" s="3" t="s">
        <v>49</v>
      </c>
      <c r="C16" s="3" t="s">
        <v>50</v>
      </c>
      <c r="D16" s="3">
        <v>112</v>
      </c>
      <c r="E16" s="3">
        <v>16</v>
      </c>
      <c r="F16" s="24" t="s">
        <v>326</v>
      </c>
      <c r="G16" s="12"/>
      <c r="H16" s="3"/>
      <c r="I16" s="4">
        <f t="shared" si="0"/>
        <v>0</v>
      </c>
    </row>
    <row r="17" spans="1:9" ht="14.25" customHeight="1" x14ac:dyDescent="0.25">
      <c r="A17" s="3" t="s">
        <v>51</v>
      </c>
      <c r="B17" s="3" t="s">
        <v>52</v>
      </c>
      <c r="C17" s="3" t="s">
        <v>53</v>
      </c>
      <c r="D17" s="3">
        <v>121</v>
      </c>
      <c r="E17" s="3" t="s">
        <v>54</v>
      </c>
      <c r="F17" s="8"/>
      <c r="G17" s="17"/>
      <c r="H17" s="3"/>
      <c r="I17" s="4">
        <f t="shared" si="0"/>
        <v>0</v>
      </c>
    </row>
    <row r="18" spans="1:9" ht="14.25" customHeight="1" x14ac:dyDescent="0.25">
      <c r="A18" s="3" t="s">
        <v>51</v>
      </c>
      <c r="B18" s="3" t="s">
        <v>55</v>
      </c>
      <c r="C18" s="3" t="s">
        <v>56</v>
      </c>
      <c r="D18" s="3">
        <v>145</v>
      </c>
      <c r="E18" s="3" t="s">
        <v>54</v>
      </c>
      <c r="F18" s="4"/>
      <c r="G18" s="17"/>
      <c r="H18" s="3"/>
      <c r="I18" s="4">
        <f t="shared" si="0"/>
        <v>0</v>
      </c>
    </row>
    <row r="19" spans="1:9" ht="14.25" customHeight="1" x14ac:dyDescent="0.25">
      <c r="A19" s="3" t="s">
        <v>51</v>
      </c>
      <c r="B19" s="3" t="s">
        <v>57</v>
      </c>
      <c r="C19" s="3" t="s">
        <v>58</v>
      </c>
      <c r="D19" s="3">
        <v>148</v>
      </c>
      <c r="E19" s="3">
        <v>4</v>
      </c>
      <c r="F19" s="11"/>
      <c r="G19" s="18"/>
      <c r="H19" s="3"/>
      <c r="I19" s="4">
        <f t="shared" si="0"/>
        <v>0</v>
      </c>
    </row>
    <row r="20" spans="1:9" ht="14.25" customHeight="1" x14ac:dyDescent="0.25">
      <c r="A20" s="3" t="s">
        <v>59</v>
      </c>
      <c r="B20" s="3" t="s">
        <v>60</v>
      </c>
      <c r="C20" s="3" t="s">
        <v>61</v>
      </c>
      <c r="D20" s="3">
        <v>148</v>
      </c>
      <c r="E20" s="3">
        <v>9</v>
      </c>
      <c r="F20" s="23" t="s">
        <v>319</v>
      </c>
      <c r="G20" s="18"/>
      <c r="H20" s="3"/>
      <c r="I20" s="4">
        <f t="shared" si="0"/>
        <v>0</v>
      </c>
    </row>
    <row r="21" spans="1:9" ht="14.25" customHeight="1" x14ac:dyDescent="0.25">
      <c r="A21" s="3" t="s">
        <v>62</v>
      </c>
      <c r="B21" s="3" t="s">
        <v>63</v>
      </c>
      <c r="C21" s="3" t="s">
        <v>64</v>
      </c>
      <c r="D21" s="3">
        <v>150</v>
      </c>
      <c r="E21" s="3">
        <v>18</v>
      </c>
      <c r="F21" s="23" t="s">
        <v>319</v>
      </c>
      <c r="G21" s="18"/>
      <c r="H21" s="3"/>
      <c r="I21" s="4">
        <f t="shared" si="0"/>
        <v>0</v>
      </c>
    </row>
    <row r="22" spans="1:9" ht="14.25" customHeight="1" x14ac:dyDescent="0.25">
      <c r="A22" s="3" t="s">
        <v>65</v>
      </c>
      <c r="B22" s="3" t="s">
        <v>66</v>
      </c>
      <c r="C22" s="3" t="s">
        <v>67</v>
      </c>
      <c r="D22" s="3">
        <v>150</v>
      </c>
      <c r="E22" s="3">
        <v>10</v>
      </c>
      <c r="F22" s="23" t="s">
        <v>319</v>
      </c>
      <c r="G22" s="18"/>
      <c r="H22" s="8"/>
      <c r="I22" s="4">
        <f t="shared" si="0"/>
        <v>0</v>
      </c>
    </row>
    <row r="23" spans="1:9" ht="14.25" customHeight="1" x14ac:dyDescent="0.25">
      <c r="A23" s="3" t="s">
        <v>68</v>
      </c>
      <c r="B23" s="3" t="s">
        <v>69</v>
      </c>
      <c r="C23" s="3" t="s">
        <v>70</v>
      </c>
      <c r="D23" s="3">
        <v>151</v>
      </c>
      <c r="E23" s="3">
        <v>30</v>
      </c>
      <c r="F23" s="23" t="s">
        <v>319</v>
      </c>
      <c r="G23" s="18"/>
      <c r="H23" s="3"/>
      <c r="I23" s="4">
        <f t="shared" si="0"/>
        <v>0</v>
      </c>
    </row>
    <row r="24" spans="1:9" ht="14.25" customHeight="1" x14ac:dyDescent="0.25">
      <c r="A24" s="3" t="s">
        <v>71</v>
      </c>
      <c r="B24" s="3" t="s">
        <v>72</v>
      </c>
      <c r="C24" s="3" t="s">
        <v>73</v>
      </c>
      <c r="D24" s="3">
        <v>152</v>
      </c>
      <c r="E24" s="3">
        <v>8</v>
      </c>
      <c r="F24" s="23" t="s">
        <v>320</v>
      </c>
      <c r="G24" s="18"/>
      <c r="H24" s="3"/>
      <c r="I24" s="4">
        <f t="shared" si="0"/>
        <v>0</v>
      </c>
    </row>
    <row r="25" spans="1:9" ht="14.25" customHeight="1" x14ac:dyDescent="0.25">
      <c r="A25" s="3" t="s">
        <v>74</v>
      </c>
      <c r="B25" s="3" t="s">
        <v>75</v>
      </c>
      <c r="C25" s="3" t="s">
        <v>76</v>
      </c>
      <c r="D25" s="3">
        <v>153</v>
      </c>
      <c r="E25" s="3">
        <v>10</v>
      </c>
      <c r="F25" s="23" t="s">
        <v>320</v>
      </c>
      <c r="G25" s="18"/>
      <c r="H25" s="3"/>
      <c r="I25" s="4">
        <f t="shared" si="0"/>
        <v>0</v>
      </c>
    </row>
    <row r="26" spans="1:9" ht="14.25" customHeight="1" x14ac:dyDescent="0.25">
      <c r="A26" s="3" t="s">
        <v>77</v>
      </c>
      <c r="B26" s="3" t="s">
        <v>78</v>
      </c>
      <c r="C26" s="3" t="s">
        <v>79</v>
      </c>
      <c r="D26" s="3">
        <v>155</v>
      </c>
      <c r="E26" s="3">
        <v>10</v>
      </c>
      <c r="F26" s="23" t="s">
        <v>320</v>
      </c>
      <c r="G26" s="18"/>
      <c r="H26" s="3"/>
      <c r="I26" s="4">
        <f t="shared" si="0"/>
        <v>0</v>
      </c>
    </row>
    <row r="27" spans="1:9" ht="14.25" customHeight="1" x14ac:dyDescent="0.25">
      <c r="A27" s="3" t="s">
        <v>80</v>
      </c>
      <c r="B27" s="3" t="s">
        <v>81</v>
      </c>
      <c r="C27" s="3" t="s">
        <v>9</v>
      </c>
      <c r="D27" s="3">
        <v>155</v>
      </c>
      <c r="E27" s="3">
        <v>7</v>
      </c>
      <c r="F27" s="23" t="s">
        <v>320</v>
      </c>
      <c r="G27" s="19"/>
      <c r="H27" s="3"/>
      <c r="I27" s="4">
        <f t="shared" si="0"/>
        <v>0</v>
      </c>
    </row>
    <row r="28" spans="1:9" ht="14.25" customHeight="1" x14ac:dyDescent="0.25">
      <c r="A28" s="3" t="s">
        <v>82</v>
      </c>
      <c r="B28" s="3" t="s">
        <v>83</v>
      </c>
      <c r="C28" s="3" t="s">
        <v>84</v>
      </c>
      <c r="D28" s="3">
        <v>161</v>
      </c>
      <c r="E28" s="3">
        <v>9</v>
      </c>
      <c r="F28" s="23" t="s">
        <v>318</v>
      </c>
      <c r="G28" s="19"/>
      <c r="H28" s="3"/>
      <c r="I28" s="4">
        <f t="shared" si="0"/>
        <v>0</v>
      </c>
    </row>
    <row r="29" spans="1:9" ht="14.25" customHeight="1" x14ac:dyDescent="0.25">
      <c r="A29" s="3" t="s">
        <v>85</v>
      </c>
      <c r="B29" s="3" t="s">
        <v>86</v>
      </c>
      <c r="C29" s="3" t="s">
        <v>87</v>
      </c>
      <c r="D29" s="3">
        <v>161</v>
      </c>
      <c r="E29" s="3">
        <v>22</v>
      </c>
      <c r="F29" s="23" t="s">
        <v>320</v>
      </c>
      <c r="G29" s="16"/>
      <c r="H29" s="3"/>
      <c r="I29" s="4">
        <f t="shared" si="0"/>
        <v>0</v>
      </c>
    </row>
    <row r="30" spans="1:9" ht="14.25" customHeight="1" x14ac:dyDescent="0.25">
      <c r="A30" s="3" t="s">
        <v>88</v>
      </c>
      <c r="B30" s="3" t="s">
        <v>89</v>
      </c>
      <c r="C30" s="3" t="s">
        <v>90</v>
      </c>
      <c r="D30" s="3">
        <v>162</v>
      </c>
      <c r="E30" s="3">
        <v>8</v>
      </c>
      <c r="F30" s="23" t="s">
        <v>320</v>
      </c>
      <c r="G30" s="12"/>
      <c r="H30" s="5"/>
      <c r="I30" s="4">
        <f t="shared" si="0"/>
        <v>0</v>
      </c>
    </row>
    <row r="31" spans="1:9" ht="14.25" customHeight="1" x14ac:dyDescent="0.25">
      <c r="A31" s="3" t="s">
        <v>91</v>
      </c>
      <c r="B31" s="3" t="s">
        <v>92</v>
      </c>
      <c r="C31" s="3" t="s">
        <v>93</v>
      </c>
      <c r="D31" s="3">
        <v>163</v>
      </c>
      <c r="E31" s="3">
        <v>15</v>
      </c>
      <c r="F31" s="23" t="s">
        <v>317</v>
      </c>
      <c r="G31" s="12"/>
      <c r="H31" s="3"/>
      <c r="I31" s="4">
        <f t="shared" si="0"/>
        <v>0</v>
      </c>
    </row>
    <row r="32" spans="1:9" ht="14.25" customHeight="1" x14ac:dyDescent="0.25">
      <c r="A32" s="3" t="s">
        <v>94</v>
      </c>
      <c r="B32" s="3" t="s">
        <v>95</v>
      </c>
      <c r="C32" s="3" t="s">
        <v>96</v>
      </c>
      <c r="D32" s="3">
        <v>183</v>
      </c>
      <c r="E32" s="3">
        <v>15</v>
      </c>
      <c r="F32" s="23" t="s">
        <v>317</v>
      </c>
      <c r="G32" s="12"/>
      <c r="H32" s="4"/>
      <c r="I32" s="4">
        <f t="shared" si="0"/>
        <v>0</v>
      </c>
    </row>
    <row r="33" spans="1:9" ht="14.25" customHeight="1" x14ac:dyDescent="0.25">
      <c r="A33" s="3" t="s">
        <v>97</v>
      </c>
      <c r="B33" s="3" t="s">
        <v>98</v>
      </c>
      <c r="C33" s="3" t="s">
        <v>99</v>
      </c>
      <c r="D33" s="3">
        <v>242</v>
      </c>
      <c r="E33" s="3">
        <v>13</v>
      </c>
      <c r="F33" s="23" t="s">
        <v>317</v>
      </c>
      <c r="G33" s="12"/>
      <c r="H33" s="3"/>
      <c r="I33" s="4">
        <f t="shared" si="0"/>
        <v>0</v>
      </c>
    </row>
    <row r="34" spans="1:9" ht="14.25" customHeight="1" x14ac:dyDescent="0.25">
      <c r="A34" s="3" t="s">
        <v>100</v>
      </c>
      <c r="B34" s="3" t="s">
        <v>101</v>
      </c>
      <c r="C34" s="3" t="s">
        <v>102</v>
      </c>
      <c r="D34" s="3">
        <v>243</v>
      </c>
      <c r="E34" s="3">
        <v>12</v>
      </c>
      <c r="F34" s="23" t="s">
        <v>321</v>
      </c>
      <c r="G34" s="12"/>
      <c r="H34" s="3"/>
      <c r="I34" s="4">
        <f t="shared" si="0"/>
        <v>0</v>
      </c>
    </row>
    <row r="35" spans="1:9" ht="14.25" customHeight="1" x14ac:dyDescent="0.25">
      <c r="A35" s="3" t="s">
        <v>103</v>
      </c>
      <c r="B35" s="3" t="s">
        <v>104</v>
      </c>
      <c r="C35" s="3" t="s">
        <v>105</v>
      </c>
      <c r="D35" s="3">
        <v>243</v>
      </c>
      <c r="E35" s="3">
        <v>11</v>
      </c>
      <c r="F35" s="23" t="s">
        <v>321</v>
      </c>
      <c r="G35" s="17"/>
      <c r="H35" s="5"/>
      <c r="I35" s="4">
        <f t="shared" si="0"/>
        <v>0</v>
      </c>
    </row>
    <row r="36" spans="1:9" ht="14.25" customHeight="1" x14ac:dyDescent="0.25">
      <c r="A36" s="3" t="s">
        <v>106</v>
      </c>
      <c r="B36" s="3" t="s">
        <v>107</v>
      </c>
      <c r="C36" s="3" t="s">
        <v>108</v>
      </c>
      <c r="D36" s="3">
        <v>244</v>
      </c>
      <c r="E36" s="3">
        <v>14</v>
      </c>
      <c r="F36" s="23" t="s">
        <v>321</v>
      </c>
      <c r="G36" s="12"/>
      <c r="H36" s="4"/>
      <c r="I36" s="4">
        <f t="shared" si="0"/>
        <v>0</v>
      </c>
    </row>
    <row r="37" spans="1:9" ht="14.25" customHeight="1" x14ac:dyDescent="0.25">
      <c r="A37" s="3" t="s">
        <v>109</v>
      </c>
      <c r="B37" s="3" t="s">
        <v>110</v>
      </c>
      <c r="C37" s="3" t="s">
        <v>111</v>
      </c>
      <c r="D37" s="3">
        <v>244</v>
      </c>
      <c r="E37" s="3">
        <v>13</v>
      </c>
      <c r="F37" s="23" t="s">
        <v>321</v>
      </c>
      <c r="G37" s="12"/>
      <c r="H37" s="4"/>
      <c r="I37" s="4">
        <f t="shared" si="0"/>
        <v>0</v>
      </c>
    </row>
    <row r="38" spans="1:9" ht="14.25" customHeight="1" x14ac:dyDescent="0.25">
      <c r="A38" s="3" t="s">
        <v>112</v>
      </c>
      <c r="B38" s="3" t="s">
        <v>113</v>
      </c>
      <c r="C38" s="3" t="s">
        <v>114</v>
      </c>
      <c r="D38" s="3">
        <v>254</v>
      </c>
      <c r="E38" s="3">
        <v>9</v>
      </c>
      <c r="F38" s="23" t="s">
        <v>321</v>
      </c>
      <c r="G38" s="12"/>
      <c r="H38" s="3"/>
      <c r="I38" s="4">
        <f t="shared" si="0"/>
        <v>0</v>
      </c>
    </row>
    <row r="39" spans="1:9" ht="14.25" customHeight="1" x14ac:dyDescent="0.25">
      <c r="A39" s="3" t="s">
        <v>115</v>
      </c>
      <c r="B39" s="3" t="s">
        <v>116</v>
      </c>
      <c r="C39" s="3" t="s">
        <v>117</v>
      </c>
      <c r="D39" s="3">
        <v>254</v>
      </c>
      <c r="E39" s="3">
        <v>28</v>
      </c>
      <c r="F39" s="23" t="s">
        <v>318</v>
      </c>
      <c r="G39" s="12"/>
      <c r="H39" s="4"/>
      <c r="I39" s="4">
        <f t="shared" si="0"/>
        <v>0</v>
      </c>
    </row>
    <row r="40" spans="1:9" ht="14.25" customHeight="1" x14ac:dyDescent="0.25">
      <c r="A40" s="3" t="s">
        <v>118</v>
      </c>
      <c r="B40" s="3" t="s">
        <v>119</v>
      </c>
      <c r="C40" s="3" t="s">
        <v>120</v>
      </c>
      <c r="D40" s="3">
        <v>255</v>
      </c>
      <c r="E40" s="3">
        <v>3</v>
      </c>
      <c r="F40" s="23" t="s">
        <v>321</v>
      </c>
      <c r="G40" s="20"/>
      <c r="H40" s="5"/>
      <c r="I40" s="4">
        <f t="shared" si="0"/>
        <v>0</v>
      </c>
    </row>
    <row r="41" spans="1:9" ht="14.25" customHeight="1" x14ac:dyDescent="0.25">
      <c r="A41" s="3" t="s">
        <v>121</v>
      </c>
      <c r="B41" s="3" t="s">
        <v>122</v>
      </c>
      <c r="C41" s="3" t="s">
        <v>123</v>
      </c>
      <c r="D41" s="3">
        <v>255</v>
      </c>
      <c r="E41" s="3">
        <v>3</v>
      </c>
      <c r="F41" s="23" t="s">
        <v>323</v>
      </c>
      <c r="G41" s="20"/>
      <c r="H41" s="4"/>
      <c r="I41" s="4">
        <f t="shared" si="0"/>
        <v>0</v>
      </c>
    </row>
    <row r="42" spans="1:9" ht="14.25" customHeight="1" x14ac:dyDescent="0.25">
      <c r="A42" s="3" t="s">
        <v>121</v>
      </c>
      <c r="B42" s="3" t="s">
        <v>124</v>
      </c>
      <c r="C42" s="3" t="s">
        <v>125</v>
      </c>
      <c r="D42" s="3">
        <v>255</v>
      </c>
      <c r="E42" s="3">
        <v>3</v>
      </c>
      <c r="F42" s="23" t="s">
        <v>323</v>
      </c>
      <c r="G42" s="20"/>
      <c r="H42" s="3"/>
      <c r="I42" s="4">
        <f t="shared" si="0"/>
        <v>0</v>
      </c>
    </row>
    <row r="43" spans="1:9" ht="14.25" customHeight="1" x14ac:dyDescent="0.25">
      <c r="A43" s="3" t="s">
        <v>126</v>
      </c>
      <c r="B43" s="3" t="s">
        <v>124</v>
      </c>
      <c r="C43" s="3" t="s">
        <v>127</v>
      </c>
      <c r="D43" s="3">
        <v>256</v>
      </c>
      <c r="E43" s="3">
        <v>3</v>
      </c>
      <c r="F43" s="23" t="s">
        <v>323</v>
      </c>
      <c r="G43" s="20"/>
      <c r="H43" s="5"/>
      <c r="I43" s="4">
        <f>SUMIF(F44:F146, H43, E43:E146)</f>
        <v>0</v>
      </c>
    </row>
    <row r="44" spans="1:9" ht="14.25" customHeight="1" x14ac:dyDescent="0.25">
      <c r="A44" s="22" t="s">
        <v>128</v>
      </c>
      <c r="B44" s="22" t="s">
        <v>129</v>
      </c>
      <c r="C44" s="22" t="s">
        <v>130</v>
      </c>
      <c r="D44" s="22">
        <v>256</v>
      </c>
      <c r="E44" s="22">
        <v>8</v>
      </c>
      <c r="F44" s="23" t="s">
        <v>323</v>
      </c>
      <c r="G44" s="12"/>
      <c r="I44" s="4">
        <f>SUMIF(F44:F147, H44, E44:E147)</f>
        <v>0</v>
      </c>
    </row>
    <row r="45" spans="1:9" ht="14.25" customHeight="1" x14ac:dyDescent="0.25">
      <c r="A45" s="3" t="s">
        <v>131</v>
      </c>
      <c r="B45" s="3" t="s">
        <v>132</v>
      </c>
      <c r="C45" s="3" t="s">
        <v>133</v>
      </c>
      <c r="D45" s="3">
        <v>258</v>
      </c>
      <c r="E45" s="3">
        <v>19</v>
      </c>
      <c r="F45" s="23" t="s">
        <v>323</v>
      </c>
      <c r="G45" s="18"/>
      <c r="I45" s="4">
        <f t="shared" si="0"/>
        <v>0</v>
      </c>
    </row>
    <row r="46" spans="1:9" ht="14.25" customHeight="1" x14ac:dyDescent="0.25">
      <c r="A46" s="3" t="s">
        <v>134</v>
      </c>
      <c r="B46" s="3" t="s">
        <v>135</v>
      </c>
      <c r="C46" s="3" t="s">
        <v>136</v>
      </c>
      <c r="D46" s="3">
        <v>259</v>
      </c>
      <c r="E46" s="3">
        <v>30</v>
      </c>
      <c r="F46" s="23" t="s">
        <v>323</v>
      </c>
      <c r="G46" s="20"/>
      <c r="I46" s="4">
        <f t="shared" si="0"/>
        <v>0</v>
      </c>
    </row>
    <row r="47" spans="1:9" ht="14.25" customHeight="1" x14ac:dyDescent="0.25">
      <c r="A47" s="3" t="s">
        <v>137</v>
      </c>
      <c r="B47" s="3" t="s">
        <v>138</v>
      </c>
      <c r="C47" s="3" t="s">
        <v>139</v>
      </c>
      <c r="D47" s="3">
        <v>263</v>
      </c>
      <c r="E47" s="3">
        <v>30</v>
      </c>
      <c r="F47" s="3"/>
      <c r="G47" s="12"/>
      <c r="I47" s="4">
        <f t="shared" si="0"/>
        <v>0</v>
      </c>
    </row>
    <row r="48" spans="1:9" ht="14.25" customHeight="1" x14ac:dyDescent="0.25">
      <c r="A48" s="3" t="s">
        <v>140</v>
      </c>
      <c r="B48" s="3" t="s">
        <v>124</v>
      </c>
      <c r="C48" s="3" t="s">
        <v>141</v>
      </c>
      <c r="D48" s="3">
        <v>265</v>
      </c>
      <c r="E48" s="3">
        <v>7</v>
      </c>
      <c r="F48" s="3"/>
      <c r="G48" s="20"/>
      <c r="I48" s="4">
        <f t="shared" si="0"/>
        <v>0</v>
      </c>
    </row>
    <row r="49" spans="1:9" ht="14.25" customHeight="1" x14ac:dyDescent="0.25">
      <c r="A49" s="3" t="s">
        <v>142</v>
      </c>
      <c r="B49" s="3" t="s">
        <v>122</v>
      </c>
      <c r="C49" s="3" t="s">
        <v>143</v>
      </c>
      <c r="D49" s="3">
        <v>266</v>
      </c>
      <c r="E49" s="3">
        <v>5</v>
      </c>
      <c r="F49" s="3"/>
      <c r="G49" s="12"/>
      <c r="I49" s="4">
        <f t="shared" si="0"/>
        <v>0</v>
      </c>
    </row>
    <row r="50" spans="1:9" ht="14.25" customHeight="1" x14ac:dyDescent="0.25">
      <c r="A50" s="3" t="s">
        <v>144</v>
      </c>
      <c r="B50" s="3" t="s">
        <v>124</v>
      </c>
      <c r="C50" s="3" t="s">
        <v>145</v>
      </c>
      <c r="D50" s="3">
        <v>266</v>
      </c>
      <c r="E50" s="3">
        <v>12</v>
      </c>
      <c r="F50" s="11"/>
      <c r="G50" s="12"/>
      <c r="I50" s="4">
        <f t="shared" si="0"/>
        <v>0</v>
      </c>
    </row>
    <row r="51" spans="1:9" ht="14.25" customHeight="1" x14ac:dyDescent="0.25">
      <c r="A51" s="3" t="s">
        <v>146</v>
      </c>
      <c r="B51" s="3" t="s">
        <v>119</v>
      </c>
      <c r="C51" s="3" t="s">
        <v>147</v>
      </c>
      <c r="D51" s="3">
        <v>268</v>
      </c>
      <c r="E51" s="3">
        <v>31</v>
      </c>
      <c r="F51" s="11"/>
      <c r="G51" s="12"/>
    </row>
    <row r="52" spans="1:9" ht="14.25" customHeight="1" x14ac:dyDescent="0.25">
      <c r="A52" s="3" t="s">
        <v>148</v>
      </c>
      <c r="B52" s="3" t="s">
        <v>149</v>
      </c>
      <c r="C52" s="3" t="s">
        <v>150</v>
      </c>
      <c r="D52" s="3">
        <v>270</v>
      </c>
      <c r="E52" s="3">
        <v>16</v>
      </c>
      <c r="F52" s="23" t="s">
        <v>318</v>
      </c>
      <c r="G52" s="20"/>
    </row>
    <row r="53" spans="1:9" ht="14.25" customHeight="1" x14ac:dyDescent="0.25">
      <c r="A53" s="3" t="s">
        <v>151</v>
      </c>
      <c r="B53" s="3" t="s">
        <v>152</v>
      </c>
      <c r="C53" s="3" t="s">
        <v>153</v>
      </c>
      <c r="D53" s="3">
        <v>272</v>
      </c>
      <c r="E53" s="3">
        <v>19</v>
      </c>
      <c r="F53" s="23" t="s">
        <v>325</v>
      </c>
      <c r="G53" s="12"/>
    </row>
    <row r="54" spans="1:9" ht="14.25" customHeight="1" x14ac:dyDescent="0.25">
      <c r="A54" s="3" t="s">
        <v>154</v>
      </c>
      <c r="B54" s="3" t="s">
        <v>155</v>
      </c>
      <c r="C54" s="3" t="s">
        <v>156</v>
      </c>
      <c r="D54" s="3">
        <v>273</v>
      </c>
      <c r="E54" s="3">
        <v>16</v>
      </c>
      <c r="F54" s="23" t="s">
        <v>325</v>
      </c>
      <c r="G54" s="12"/>
    </row>
    <row r="55" spans="1:9" ht="14.25" customHeight="1" x14ac:dyDescent="0.25">
      <c r="A55" s="3" t="s">
        <v>157</v>
      </c>
      <c r="B55" s="3" t="s">
        <v>158</v>
      </c>
      <c r="C55" s="3" t="s">
        <v>159</v>
      </c>
      <c r="D55" s="3">
        <v>274</v>
      </c>
      <c r="E55" s="3">
        <v>30</v>
      </c>
      <c r="F55" s="23" t="s">
        <v>325</v>
      </c>
      <c r="G55" s="12"/>
    </row>
    <row r="56" spans="1:9" ht="14.25" customHeight="1" x14ac:dyDescent="0.25">
      <c r="A56" s="3" t="s">
        <v>160</v>
      </c>
      <c r="B56" s="3" t="s">
        <v>161</v>
      </c>
      <c r="C56" s="3" t="s">
        <v>162</v>
      </c>
      <c r="D56" s="3">
        <v>284</v>
      </c>
      <c r="E56" s="3">
        <v>12</v>
      </c>
      <c r="F56" s="11"/>
      <c r="G56" s="12"/>
    </row>
    <row r="57" spans="1:9" ht="14.25" customHeight="1" x14ac:dyDescent="0.25">
      <c r="A57" s="3" t="s">
        <v>163</v>
      </c>
      <c r="B57" s="3" t="s">
        <v>164</v>
      </c>
      <c r="C57" s="3" t="s">
        <v>165</v>
      </c>
      <c r="D57" s="3">
        <v>287</v>
      </c>
      <c r="E57" s="3">
        <v>41</v>
      </c>
      <c r="F57" s="11"/>
      <c r="G57" s="12"/>
    </row>
    <row r="58" spans="1:9" ht="14.25" customHeight="1" x14ac:dyDescent="0.25">
      <c r="A58" s="3" t="s">
        <v>166</v>
      </c>
      <c r="B58" s="3" t="s">
        <v>167</v>
      </c>
      <c r="C58" s="3" t="s">
        <v>168</v>
      </c>
      <c r="D58" s="3">
        <v>291</v>
      </c>
      <c r="E58" s="3">
        <v>17</v>
      </c>
      <c r="F58" s="3"/>
      <c r="G58" s="20"/>
    </row>
    <row r="59" spans="1:9" ht="14.25" customHeight="1" x14ac:dyDescent="0.25">
      <c r="A59" s="3" t="s">
        <v>169</v>
      </c>
      <c r="B59" s="3" t="s">
        <v>170</v>
      </c>
      <c r="C59" s="3" t="s">
        <v>171</v>
      </c>
      <c r="D59" s="3">
        <v>292</v>
      </c>
      <c r="E59" s="3">
        <v>5</v>
      </c>
      <c r="F59" s="3"/>
      <c r="G59" s="20"/>
    </row>
    <row r="60" spans="1:9" ht="14.25" customHeight="1" x14ac:dyDescent="0.25">
      <c r="A60" s="3" t="s">
        <v>172</v>
      </c>
      <c r="B60" s="3" t="s">
        <v>173</v>
      </c>
      <c r="C60" s="3" t="s">
        <v>174</v>
      </c>
      <c r="D60" s="3">
        <v>292</v>
      </c>
      <c r="E60" s="3">
        <v>32</v>
      </c>
      <c r="F60" s="11"/>
      <c r="G60" s="12"/>
    </row>
    <row r="61" spans="1:9" ht="13.5" customHeight="1" x14ac:dyDescent="0.25">
      <c r="A61" s="3" t="s">
        <v>175</v>
      </c>
      <c r="B61" s="3" t="s">
        <v>176</v>
      </c>
      <c r="C61" s="3" t="s">
        <v>177</v>
      </c>
      <c r="D61" s="3">
        <v>301</v>
      </c>
      <c r="E61" s="3">
        <v>42</v>
      </c>
      <c r="F61" s="11"/>
      <c r="G61" s="20"/>
    </row>
    <row r="62" spans="1:9" ht="14.25" customHeight="1" x14ac:dyDescent="0.25">
      <c r="A62" s="3" t="s">
        <v>178</v>
      </c>
      <c r="B62" s="3" t="s">
        <v>179</v>
      </c>
      <c r="C62" s="3" t="s">
        <v>180</v>
      </c>
      <c r="D62" s="3">
        <v>304</v>
      </c>
      <c r="E62" s="3">
        <v>4</v>
      </c>
      <c r="F62" s="9"/>
      <c r="G62" s="20"/>
    </row>
    <row r="63" spans="1:9" ht="14.25" customHeight="1" x14ac:dyDescent="0.25">
      <c r="A63" s="3" t="s">
        <v>181</v>
      </c>
      <c r="B63" s="3" t="s">
        <v>182</v>
      </c>
      <c r="C63" s="3" t="s">
        <v>183</v>
      </c>
      <c r="D63" s="3">
        <v>305</v>
      </c>
      <c r="E63" s="3">
        <v>15</v>
      </c>
      <c r="F63" s="9"/>
      <c r="G63" s="17"/>
    </row>
    <row r="64" spans="1:9" ht="14.25" customHeight="1" x14ac:dyDescent="0.25">
      <c r="A64" s="3" t="s">
        <v>184</v>
      </c>
      <c r="B64" s="3" t="s">
        <v>185</v>
      </c>
      <c r="C64" s="3" t="s">
        <v>186</v>
      </c>
      <c r="D64" s="3">
        <v>313</v>
      </c>
      <c r="E64" s="3">
        <v>7</v>
      </c>
      <c r="F64" s="9"/>
      <c r="G64" s="20"/>
    </row>
    <row r="65" spans="1:7" ht="14.25" customHeight="1" x14ac:dyDescent="0.25">
      <c r="A65" s="3" t="s">
        <v>187</v>
      </c>
      <c r="B65" s="3" t="s">
        <v>188</v>
      </c>
      <c r="C65" s="3" t="s">
        <v>189</v>
      </c>
      <c r="D65" s="3">
        <v>313</v>
      </c>
      <c r="E65" s="3">
        <v>13</v>
      </c>
      <c r="F65" s="9"/>
      <c r="G65" s="12"/>
    </row>
    <row r="66" spans="1:7" ht="14.25" customHeight="1" x14ac:dyDescent="0.25">
      <c r="A66" s="3" t="s">
        <v>190</v>
      </c>
      <c r="B66" s="3" t="s">
        <v>191</v>
      </c>
      <c r="C66" s="3" t="s">
        <v>192</v>
      </c>
      <c r="D66" s="3">
        <v>314</v>
      </c>
      <c r="E66" s="3">
        <v>3</v>
      </c>
      <c r="F66" s="5"/>
      <c r="G66" s="20"/>
    </row>
    <row r="67" spans="1:7" ht="14.25" customHeight="1" x14ac:dyDescent="0.25">
      <c r="A67" s="3" t="s">
        <v>193</v>
      </c>
      <c r="B67" s="3" t="s">
        <v>194</v>
      </c>
      <c r="C67" s="3" t="s">
        <v>195</v>
      </c>
      <c r="D67" s="3">
        <v>314</v>
      </c>
      <c r="E67" s="3">
        <v>12</v>
      </c>
      <c r="F67" s="5"/>
      <c r="G67" s="20"/>
    </row>
    <row r="68" spans="1:7" ht="14.25" customHeight="1" x14ac:dyDescent="0.25">
      <c r="A68" s="3" t="s">
        <v>196</v>
      </c>
      <c r="B68" s="3" t="s">
        <v>197</v>
      </c>
      <c r="C68" s="3" t="s">
        <v>198</v>
      </c>
      <c r="D68" s="3">
        <v>315</v>
      </c>
      <c r="E68" s="3">
        <v>12</v>
      </c>
      <c r="F68" s="8"/>
      <c r="G68" s="20"/>
    </row>
    <row r="69" spans="1:7" ht="14.25" customHeight="1" x14ac:dyDescent="0.25">
      <c r="A69" s="3" t="s">
        <v>199</v>
      </c>
      <c r="B69" s="3" t="s">
        <v>200</v>
      </c>
      <c r="C69" s="3" t="s">
        <v>201</v>
      </c>
      <c r="D69" s="3">
        <v>327</v>
      </c>
      <c r="E69" s="3">
        <v>20</v>
      </c>
      <c r="F69" s="23" t="s">
        <v>324</v>
      </c>
      <c r="G69" s="20"/>
    </row>
    <row r="70" spans="1:7" ht="14.25" customHeight="1" x14ac:dyDescent="0.25">
      <c r="A70" s="3" t="s">
        <v>202</v>
      </c>
      <c r="B70" s="3" t="s">
        <v>203</v>
      </c>
      <c r="C70" s="3" t="s">
        <v>204</v>
      </c>
      <c r="D70" s="3">
        <v>329</v>
      </c>
      <c r="E70" s="3">
        <v>18</v>
      </c>
      <c r="F70" s="12"/>
      <c r="G70" s="12"/>
    </row>
    <row r="71" spans="1:7" ht="14.25" customHeight="1" x14ac:dyDescent="0.25">
      <c r="A71" s="3" t="s">
        <v>205</v>
      </c>
      <c r="B71" s="3" t="s">
        <v>206</v>
      </c>
      <c r="C71" s="3" t="s">
        <v>207</v>
      </c>
      <c r="D71" s="3">
        <v>329</v>
      </c>
      <c r="E71" s="3">
        <v>5</v>
      </c>
      <c r="F71" s="13"/>
      <c r="G71" s="20"/>
    </row>
    <row r="72" spans="1:7" ht="14.25" customHeight="1" x14ac:dyDescent="0.25">
      <c r="A72" s="3" t="s">
        <v>208</v>
      </c>
      <c r="B72" s="3" t="s">
        <v>209</v>
      </c>
      <c r="C72" s="3" t="s">
        <v>314</v>
      </c>
      <c r="D72" s="3">
        <v>329</v>
      </c>
      <c r="E72" s="3">
        <v>17</v>
      </c>
      <c r="F72" s="4"/>
      <c r="G72" s="20"/>
    </row>
    <row r="73" spans="1:7" ht="14.25" customHeight="1" x14ac:dyDescent="0.25">
      <c r="A73" s="3" t="s">
        <v>210</v>
      </c>
      <c r="B73" s="3" t="s">
        <v>211</v>
      </c>
      <c r="C73" s="3" t="s">
        <v>212</v>
      </c>
      <c r="D73" s="3">
        <v>331</v>
      </c>
      <c r="E73" s="3">
        <v>14</v>
      </c>
      <c r="F73" s="12"/>
      <c r="G73" s="12"/>
    </row>
    <row r="74" spans="1:7" ht="14.25" customHeight="1" x14ac:dyDescent="0.25">
      <c r="A74" s="3" t="s">
        <v>213</v>
      </c>
      <c r="B74" s="3" t="s">
        <v>214</v>
      </c>
      <c r="C74" s="3" t="s">
        <v>215</v>
      </c>
      <c r="D74" s="3">
        <v>331</v>
      </c>
      <c r="E74" s="3">
        <v>5</v>
      </c>
      <c r="F74" s="11"/>
      <c r="G74" s="12"/>
    </row>
    <row r="75" spans="1:7" ht="14.25" customHeight="1" x14ac:dyDescent="0.25">
      <c r="A75" s="3" t="s">
        <v>216</v>
      </c>
      <c r="B75" s="3" t="s">
        <v>209</v>
      </c>
      <c r="C75" s="3" t="s">
        <v>217</v>
      </c>
      <c r="D75" s="3">
        <v>332</v>
      </c>
      <c r="E75" s="3">
        <v>28</v>
      </c>
      <c r="F75" s="11"/>
      <c r="G75" s="12"/>
    </row>
    <row r="76" spans="1:7" ht="14.25" customHeight="1" x14ac:dyDescent="0.25">
      <c r="A76" s="3" t="s">
        <v>218</v>
      </c>
      <c r="B76" s="3" t="s">
        <v>203</v>
      </c>
      <c r="C76" s="3" t="s">
        <v>219</v>
      </c>
      <c r="D76" s="3">
        <v>333</v>
      </c>
      <c r="E76" s="3">
        <v>3</v>
      </c>
      <c r="F76" s="23" t="s">
        <v>324</v>
      </c>
      <c r="G76" s="20"/>
    </row>
    <row r="77" spans="1:7" ht="14.25" customHeight="1" x14ac:dyDescent="0.25">
      <c r="A77" s="3" t="s">
        <v>220</v>
      </c>
      <c r="B77" s="3" t="s">
        <v>221</v>
      </c>
      <c r="C77" s="3" t="s">
        <v>222</v>
      </c>
      <c r="D77" s="3">
        <v>333</v>
      </c>
      <c r="E77" s="3">
        <v>9</v>
      </c>
      <c r="F77" s="23" t="s">
        <v>324</v>
      </c>
      <c r="G77" s="20"/>
    </row>
    <row r="78" spans="1:7" ht="14.25" customHeight="1" x14ac:dyDescent="0.25">
      <c r="A78" s="3" t="s">
        <v>223</v>
      </c>
      <c r="B78" s="3" t="s">
        <v>224</v>
      </c>
      <c r="C78" s="3" t="s">
        <v>225</v>
      </c>
      <c r="D78" s="3">
        <v>334</v>
      </c>
      <c r="E78" s="3">
        <v>13</v>
      </c>
      <c r="F78" s="5"/>
      <c r="G78" s="12"/>
    </row>
    <row r="79" spans="1:7" ht="14.25" customHeight="1" x14ac:dyDescent="0.25">
      <c r="A79" s="3" t="s">
        <v>226</v>
      </c>
      <c r="B79" s="3" t="s">
        <v>227</v>
      </c>
      <c r="C79" s="3" t="s">
        <v>228</v>
      </c>
      <c r="D79" s="3">
        <v>336</v>
      </c>
      <c r="E79" s="3">
        <v>15</v>
      </c>
      <c r="F79" s="5"/>
      <c r="G79" s="12"/>
    </row>
    <row r="80" spans="1:7" ht="14.25" customHeight="1" x14ac:dyDescent="0.25">
      <c r="A80" s="3" t="s">
        <v>229</v>
      </c>
      <c r="B80" s="3" t="s">
        <v>230</v>
      </c>
      <c r="C80" s="3" t="s">
        <v>231</v>
      </c>
      <c r="D80" s="3">
        <v>336</v>
      </c>
      <c r="E80" s="3">
        <v>6</v>
      </c>
      <c r="F80" s="4"/>
      <c r="G80" s="20"/>
    </row>
    <row r="81" spans="1:7" ht="14.25" customHeight="1" x14ac:dyDescent="0.25">
      <c r="A81" s="3" t="s">
        <v>232</v>
      </c>
      <c r="B81" s="3" t="s">
        <v>203</v>
      </c>
      <c r="C81" s="3" t="s">
        <v>233</v>
      </c>
      <c r="D81" s="3">
        <v>337</v>
      </c>
      <c r="E81" s="3">
        <v>4</v>
      </c>
      <c r="F81" s="4"/>
      <c r="G81" s="20"/>
    </row>
    <row r="82" spans="1:7" ht="14.25" customHeight="1" x14ac:dyDescent="0.25">
      <c r="A82" s="3" t="s">
        <v>234</v>
      </c>
      <c r="B82" s="3" t="s">
        <v>235</v>
      </c>
      <c r="C82" s="3" t="s">
        <v>236</v>
      </c>
      <c r="D82" s="3">
        <v>337</v>
      </c>
      <c r="E82" s="3">
        <v>5</v>
      </c>
      <c r="F82" s="14"/>
      <c r="G82" s="20"/>
    </row>
    <row r="83" spans="1:7" ht="14.25" customHeight="1" x14ac:dyDescent="0.25">
      <c r="A83" s="3" t="s">
        <v>237</v>
      </c>
      <c r="B83" s="3" t="s">
        <v>238</v>
      </c>
      <c r="C83" s="3" t="s">
        <v>239</v>
      </c>
      <c r="D83" s="3">
        <v>343</v>
      </c>
      <c r="E83" s="3">
        <v>25</v>
      </c>
      <c r="F83" s="4"/>
      <c r="G83" s="20"/>
    </row>
    <row r="84" spans="1:7" ht="14.25" customHeight="1" x14ac:dyDescent="0.25">
      <c r="A84" s="3" t="s">
        <v>240</v>
      </c>
      <c r="B84" s="3" t="s">
        <v>241</v>
      </c>
      <c r="C84" s="3" t="s">
        <v>242</v>
      </c>
      <c r="D84" s="3">
        <v>344</v>
      </c>
      <c r="E84" s="3">
        <v>9</v>
      </c>
      <c r="F84" s="4"/>
      <c r="G84" s="20"/>
    </row>
    <row r="85" spans="1:7" ht="14.25" customHeight="1" x14ac:dyDescent="0.25">
      <c r="A85" s="3" t="s">
        <v>243</v>
      </c>
      <c r="B85" s="3" t="s">
        <v>244</v>
      </c>
      <c r="C85" s="3" t="s">
        <v>245</v>
      </c>
      <c r="D85" s="3">
        <v>346</v>
      </c>
      <c r="E85" s="3">
        <v>11</v>
      </c>
      <c r="F85" s="4"/>
      <c r="G85" s="20"/>
    </row>
    <row r="86" spans="1:7" ht="14.25" customHeight="1" x14ac:dyDescent="0.25">
      <c r="A86" s="3" t="s">
        <v>246</v>
      </c>
      <c r="B86" s="3" t="s">
        <v>247</v>
      </c>
      <c r="C86" s="3" t="s">
        <v>248</v>
      </c>
      <c r="D86" s="3">
        <v>354</v>
      </c>
      <c r="E86" s="3">
        <v>9</v>
      </c>
      <c r="F86" s="23" t="s">
        <v>322</v>
      </c>
      <c r="G86" s="12"/>
    </row>
    <row r="87" spans="1:7" ht="14.25" customHeight="1" x14ac:dyDescent="0.25">
      <c r="A87" s="3" t="s">
        <v>249</v>
      </c>
      <c r="B87" s="3" t="s">
        <v>250</v>
      </c>
      <c r="C87" s="3" t="s">
        <v>251</v>
      </c>
      <c r="D87" s="3">
        <v>356</v>
      </c>
      <c r="E87" s="3">
        <v>19</v>
      </c>
      <c r="F87" s="23" t="s">
        <v>322</v>
      </c>
      <c r="G87" s="12"/>
    </row>
    <row r="88" spans="1:7" ht="14.25" customHeight="1" x14ac:dyDescent="0.25">
      <c r="A88" s="3" t="s">
        <v>252</v>
      </c>
      <c r="B88" s="3" t="s">
        <v>253</v>
      </c>
      <c r="C88" s="3" t="s">
        <v>254</v>
      </c>
      <c r="D88" s="3">
        <v>357</v>
      </c>
      <c r="E88" s="3">
        <v>10</v>
      </c>
      <c r="F88" s="23" t="s">
        <v>324</v>
      </c>
      <c r="G88" s="12"/>
    </row>
    <row r="89" spans="1:7" ht="14.25" customHeight="1" x14ac:dyDescent="0.25">
      <c r="A89" s="3" t="s">
        <v>255</v>
      </c>
      <c r="B89" s="3" t="s">
        <v>256</v>
      </c>
      <c r="C89" s="3" t="s">
        <v>257</v>
      </c>
      <c r="D89" s="3">
        <v>357</v>
      </c>
      <c r="E89" s="3">
        <v>13</v>
      </c>
      <c r="F89" s="23" t="s">
        <v>322</v>
      </c>
      <c r="G89" s="12"/>
    </row>
    <row r="90" spans="1:7" ht="14.25" customHeight="1" x14ac:dyDescent="0.25">
      <c r="A90" s="3" t="s">
        <v>258</v>
      </c>
      <c r="B90" s="3" t="s">
        <v>259</v>
      </c>
      <c r="C90" s="3" t="s">
        <v>260</v>
      </c>
      <c r="D90" s="3">
        <v>360</v>
      </c>
      <c r="E90" s="3">
        <v>16</v>
      </c>
      <c r="F90" s="23" t="s">
        <v>324</v>
      </c>
      <c r="G90" s="20"/>
    </row>
    <row r="91" spans="1:7" ht="14.25" customHeight="1" x14ac:dyDescent="0.25">
      <c r="A91" s="3" t="s">
        <v>261</v>
      </c>
      <c r="B91" s="3" t="s">
        <v>262</v>
      </c>
      <c r="C91" s="3" t="s">
        <v>263</v>
      </c>
      <c r="D91" s="3">
        <v>362</v>
      </c>
      <c r="E91" s="3">
        <v>23</v>
      </c>
      <c r="F91" s="23" t="s">
        <v>322</v>
      </c>
      <c r="G91" s="20"/>
    </row>
    <row r="92" spans="1:7" ht="14.25" customHeight="1" x14ac:dyDescent="0.25">
      <c r="A92" s="3" t="s">
        <v>264</v>
      </c>
      <c r="B92" s="3" t="s">
        <v>265</v>
      </c>
      <c r="C92" s="3" t="s">
        <v>266</v>
      </c>
      <c r="D92" s="3">
        <v>364</v>
      </c>
      <c r="E92" s="3">
        <v>5</v>
      </c>
      <c r="F92" s="23" t="s">
        <v>322</v>
      </c>
      <c r="G92" s="20"/>
    </row>
    <row r="93" spans="1:7" ht="14.25" customHeight="1" x14ac:dyDescent="0.25">
      <c r="A93" s="3" t="s">
        <v>267</v>
      </c>
      <c r="B93" s="3" t="s">
        <v>268</v>
      </c>
      <c r="C93" s="3" t="s">
        <v>269</v>
      </c>
      <c r="D93" s="3">
        <v>364</v>
      </c>
      <c r="E93" s="3">
        <v>25</v>
      </c>
      <c r="F93" s="23" t="s">
        <v>322</v>
      </c>
      <c r="G93" s="20"/>
    </row>
    <row r="94" spans="1:7" ht="14.25" customHeight="1" x14ac:dyDescent="0.25">
      <c r="A94" s="3" t="s">
        <v>270</v>
      </c>
      <c r="B94" s="3" t="s">
        <v>271</v>
      </c>
      <c r="C94" s="3" t="s">
        <v>272</v>
      </c>
      <c r="D94" s="3">
        <v>366</v>
      </c>
      <c r="E94" s="3">
        <v>21</v>
      </c>
      <c r="F94" s="23" t="s">
        <v>322</v>
      </c>
      <c r="G94" s="20"/>
    </row>
    <row r="95" spans="1:7" ht="14.25" customHeight="1" x14ac:dyDescent="0.25">
      <c r="A95" s="3" t="s">
        <v>273</v>
      </c>
      <c r="B95" s="3" t="s">
        <v>274</v>
      </c>
      <c r="C95" s="3" t="s">
        <v>275</v>
      </c>
      <c r="D95" s="3">
        <v>367</v>
      </c>
      <c r="E95" s="3">
        <v>16</v>
      </c>
      <c r="F95" s="23" t="s">
        <v>322</v>
      </c>
      <c r="G95" s="12"/>
    </row>
    <row r="96" spans="1:7" ht="14.25" customHeight="1" x14ac:dyDescent="0.25">
      <c r="A96" s="3" t="s">
        <v>276</v>
      </c>
      <c r="B96" s="3" t="s">
        <v>277</v>
      </c>
      <c r="C96" s="3" t="s">
        <v>278</v>
      </c>
      <c r="D96" s="3">
        <v>368</v>
      </c>
      <c r="E96" s="3">
        <v>9</v>
      </c>
      <c r="F96" s="23" t="s">
        <v>322</v>
      </c>
      <c r="G96" s="20"/>
    </row>
    <row r="97" spans="1:7" ht="14.25" customHeight="1" x14ac:dyDescent="0.25">
      <c r="A97" s="3" t="s">
        <v>279</v>
      </c>
      <c r="B97" s="3" t="s">
        <v>280</v>
      </c>
      <c r="C97" s="3" t="s">
        <v>281</v>
      </c>
      <c r="D97" s="3">
        <v>367</v>
      </c>
      <c r="E97" s="3">
        <v>5</v>
      </c>
      <c r="F97" s="23" t="s">
        <v>322</v>
      </c>
      <c r="G97" s="20"/>
    </row>
    <row r="98" spans="1:7" ht="14.25" customHeight="1" x14ac:dyDescent="0.25">
      <c r="A98" s="3" t="s">
        <v>282</v>
      </c>
      <c r="B98" s="3" t="s">
        <v>283</v>
      </c>
      <c r="C98" s="3" t="s">
        <v>284</v>
      </c>
      <c r="D98" s="3">
        <v>367</v>
      </c>
      <c r="E98" s="3">
        <v>14</v>
      </c>
      <c r="F98" s="23" t="s">
        <v>322</v>
      </c>
      <c r="G98" s="20"/>
    </row>
    <row r="99" spans="1:7" ht="14.25" customHeight="1" x14ac:dyDescent="0.25">
      <c r="A99" s="3" t="s">
        <v>285</v>
      </c>
      <c r="B99" s="3" t="s">
        <v>286</v>
      </c>
      <c r="C99" s="3" t="s">
        <v>287</v>
      </c>
      <c r="D99" s="3">
        <v>368</v>
      </c>
      <c r="E99" s="3">
        <v>14</v>
      </c>
      <c r="F99" s="23" t="s">
        <v>322</v>
      </c>
      <c r="G99" s="20"/>
    </row>
    <row r="100" spans="1:7" ht="14.25" customHeight="1" x14ac:dyDescent="0.25">
      <c r="A100" s="3" t="s">
        <v>288</v>
      </c>
      <c r="B100" s="3" t="s">
        <v>289</v>
      </c>
      <c r="C100" s="3" t="s">
        <v>290</v>
      </c>
      <c r="D100" s="3">
        <v>370</v>
      </c>
      <c r="E100" s="3">
        <v>6</v>
      </c>
      <c r="F100" s="23" t="s">
        <v>322</v>
      </c>
      <c r="G100" s="12"/>
    </row>
    <row r="101" spans="1:7" ht="14.25" customHeight="1" x14ac:dyDescent="0.25">
      <c r="A101" s="3" t="s">
        <v>291</v>
      </c>
      <c r="B101" s="3" t="s">
        <v>292</v>
      </c>
      <c r="C101" s="3" t="s">
        <v>293</v>
      </c>
      <c r="D101" s="3">
        <v>377</v>
      </c>
      <c r="E101" s="3">
        <v>22</v>
      </c>
      <c r="F101" s="11"/>
      <c r="G101" s="12"/>
    </row>
    <row r="102" spans="1:7" ht="14.25" customHeight="1" x14ac:dyDescent="0.25">
      <c r="A102" s="3" t="s">
        <v>294</v>
      </c>
      <c r="B102" s="3" t="s">
        <v>295</v>
      </c>
      <c r="C102" s="3" t="s">
        <v>296</v>
      </c>
      <c r="D102" s="3">
        <v>377</v>
      </c>
      <c r="E102" s="3">
        <v>12</v>
      </c>
      <c r="F102" s="3"/>
      <c r="G102" s="20"/>
    </row>
    <row r="103" spans="1:7" ht="14.25" customHeight="1" x14ac:dyDescent="0.25">
      <c r="A103" s="3" t="s">
        <v>297</v>
      </c>
      <c r="B103" s="3" t="s">
        <v>92</v>
      </c>
      <c r="C103" s="3" t="s">
        <v>298</v>
      </c>
      <c r="D103" s="3">
        <v>384</v>
      </c>
      <c r="E103" s="3">
        <v>30</v>
      </c>
      <c r="F103" s="3"/>
      <c r="G103" s="20"/>
    </row>
    <row r="104" spans="1:7" ht="14.25" customHeight="1" x14ac:dyDescent="0.25">
      <c r="A104" s="3" t="s">
        <v>299</v>
      </c>
      <c r="B104" s="3" t="s">
        <v>300</v>
      </c>
      <c r="C104" s="3" t="s">
        <v>301</v>
      </c>
      <c r="D104" s="3">
        <v>384</v>
      </c>
      <c r="E104" s="3">
        <v>16</v>
      </c>
      <c r="F104" s="5"/>
      <c r="G104" s="20"/>
    </row>
    <row r="105" spans="1:7" ht="14.25" customHeight="1" x14ac:dyDescent="0.25">
      <c r="A105" s="3" t="s">
        <v>302</v>
      </c>
      <c r="B105" s="3" t="s">
        <v>303</v>
      </c>
      <c r="C105" s="3" t="s">
        <v>304</v>
      </c>
      <c r="D105" s="3">
        <v>465</v>
      </c>
      <c r="E105" s="3">
        <v>18</v>
      </c>
      <c r="F105" s="3"/>
      <c r="G105" s="20"/>
    </row>
    <row r="106" spans="1:7" ht="14.25" customHeight="1" x14ac:dyDescent="0.25">
      <c r="A106" s="3" t="s">
        <v>305</v>
      </c>
      <c r="B106" s="3" t="s">
        <v>306</v>
      </c>
      <c r="C106" s="3" t="s">
        <v>307</v>
      </c>
      <c r="D106" s="3">
        <v>470</v>
      </c>
      <c r="E106" s="3">
        <v>24</v>
      </c>
      <c r="F106" s="4"/>
      <c r="G106" s="20"/>
    </row>
    <row r="107" spans="1:7" ht="14.25" customHeight="1" x14ac:dyDescent="0.25">
      <c r="A107" s="3" t="s">
        <v>308</v>
      </c>
      <c r="B107" s="3" t="s">
        <v>309</v>
      </c>
      <c r="C107" s="3" t="s">
        <v>313</v>
      </c>
      <c r="D107" s="3">
        <v>475</v>
      </c>
      <c r="E107" s="3">
        <v>37</v>
      </c>
      <c r="F107" s="14"/>
      <c r="G107" s="12"/>
    </row>
    <row r="108" spans="1:7" ht="14.25" customHeight="1" x14ac:dyDescent="0.25">
      <c r="D108" s="7" t="s">
        <v>310</v>
      </c>
      <c r="E108" s="3">
        <f>SUM(E19:E107)</f>
        <v>1296</v>
      </c>
    </row>
    <row r="109" spans="1:7" ht="14.25" customHeight="1" x14ac:dyDescent="0.25">
      <c r="D109" s="3" t="s">
        <v>311</v>
      </c>
      <c r="E109" s="3">
        <v>27</v>
      </c>
    </row>
    <row r="110" spans="1:7" ht="14.25" customHeight="1" x14ac:dyDescent="0.25">
      <c r="D110" s="3" t="s">
        <v>312</v>
      </c>
      <c r="E110" s="3">
        <f>E108/E109</f>
        <v>48</v>
      </c>
    </row>
    <row r="111" spans="1:7" ht="15.75" customHeight="1" x14ac:dyDescent="0.25">
      <c r="D111" s="10"/>
    </row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Дизендорф</dc:creator>
  <cp:keywords/>
  <dc:description/>
  <cp:lastModifiedBy>Осипов Сергей Иванович</cp:lastModifiedBy>
  <cp:revision/>
  <dcterms:created xsi:type="dcterms:W3CDTF">2015-06-05T03:19:34Z</dcterms:created>
  <dcterms:modified xsi:type="dcterms:W3CDTF">2026-09-07T08:09:23Z</dcterms:modified>
  <cp:category/>
  <cp:contentStatus/>
</cp:coreProperties>
</file>